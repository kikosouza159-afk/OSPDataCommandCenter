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ersou\Downloads\OSPDataCommandCenter_MULTI_CLIENTES_v8_COMPARATIVO_EXECUTIVO_DATAS\OSPDataCommandCenter\data\"/>
    </mc:Choice>
  </mc:AlternateContent>
  <xr:revisionPtr revIDLastSave="0" documentId="13_ncr:1_{DF4FEEFE-1F07-465D-A6B2-AAB21F8FE4A8}" xr6:coauthVersionLast="47" xr6:coauthVersionMax="47" xr10:uidLastSave="{00000000-0000-0000-0000-000000000000}"/>
  <bookViews>
    <workbookView xWindow="28665" yWindow="-135" windowWidth="29070" windowHeight="15750" activeTab="1" xr2:uid="{00000000-000D-0000-FFFF-FFFF00000000}"/>
  </bookViews>
  <sheets>
    <sheet name="Sheet1" sheetId="1" r:id="rId1"/>
    <sheet name="Funil_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2" i="2"/>
</calcChain>
</file>

<file path=xl/sharedStrings.xml><?xml version="1.0" encoding="utf-8"?>
<sst xmlns="http://schemas.openxmlformats.org/spreadsheetml/2006/main" count="125" uniqueCount="35">
  <si>
    <t>Data</t>
  </si>
  <si>
    <t>Hora</t>
  </si>
  <si>
    <t>CampaignId</t>
  </si>
  <si>
    <t>WayInboundCampaignId</t>
  </si>
  <si>
    <t>NomeCampanha</t>
  </si>
  <si>
    <t>Mailing</t>
  </si>
  <si>
    <t>AD</t>
  </si>
  <si>
    <t>ATH</t>
  </si>
  <si>
    <t>Tentativas</t>
  </si>
  <si>
    <t>Atendidas</t>
  </si>
  <si>
    <t>Transferencia</t>
  </si>
  <si>
    <t>Perda</t>
  </si>
  <si>
    <t>Atend_ATH</t>
  </si>
  <si>
    <t>Sucesso_Negocio</t>
  </si>
  <si>
    <t>TMA_LOCATOR</t>
  </si>
  <si>
    <t>TMA_ATH</t>
  </si>
  <si>
    <t>HitRate</t>
  </si>
  <si>
    <t>SucessoInteracao</t>
  </si>
  <si>
    <t>%Perda</t>
  </si>
  <si>
    <t>Abandono</t>
  </si>
  <si>
    <t>%Abandono</t>
  </si>
  <si>
    <t>SLA</t>
  </si>
  <si>
    <t>Custo</t>
  </si>
  <si>
    <t>Creditas_Locator</t>
  </si>
  <si>
    <t>::</t>
  </si>
  <si>
    <t>%</t>
  </si>
  <si>
    <t>Locator_Creditas_benef</t>
  </si>
  <si>
    <t>DATA</t>
  </si>
  <si>
    <t>Logados</t>
  </si>
  <si>
    <t>Cpc</t>
  </si>
  <si>
    <t>Loc</t>
  </si>
  <si>
    <t>Conver</t>
  </si>
  <si>
    <t>WAY_Cobranca</t>
  </si>
  <si>
    <t>-</t>
  </si>
  <si>
    <t>WAY_Cobranca_Rescindidos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</si>
</sst>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9" fontId="0" fillId="0" borderId="0" xfId="0" applyNumberFormat="1"/>
    <xf numFmtId="21" fontId="0" fillId="0" borderId="0" xfId="0" applyNumberFormat="1"/>
    <xf numFmtId="10" fontId="0" fillId="0" borderId="0" xfId="0" applyNumberFormat="1"/>
    <xf numFmtId="3" fontId="0" fillId="0" borderId="0" xfId="0" applyNumberFormat="1"/>
    <xf numFmtId="165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workbookViewId="0">
      <selection activeCell="F5" sqref="F5"/>
    </sheetView>
  </sheetViews>
  <sheetFormatPr defaultRowHeight="14.4" x14ac:dyDescent="0.3"/>
  <cols>
    <col min="1" max="1" width="10.5546875" bestFit="1" customWidth="1"/>
    <col min="2" max="2" width="5" bestFit="1" customWidth="1"/>
    <col min="3" max="3" width="11.109375" bestFit="1" customWidth="1"/>
    <col min="4" max="4" width="22.6640625" bestFit="1" customWidth="1"/>
    <col min="5" max="5" width="21.77734375" bestFit="1" customWidth="1"/>
    <col min="6" max="6" width="7.44140625" bestFit="1" customWidth="1"/>
    <col min="7" max="7" width="3.44140625" bestFit="1" customWidth="1"/>
    <col min="8" max="8" width="4.44140625" bestFit="1" customWidth="1"/>
    <col min="9" max="9" width="9.88671875" bestFit="1" customWidth="1"/>
    <col min="10" max="10" width="9.6640625" bestFit="1" customWidth="1"/>
    <col min="11" max="11" width="12.77734375" bestFit="1" customWidth="1"/>
    <col min="12" max="12" width="6" bestFit="1" customWidth="1"/>
    <col min="13" max="13" width="10.6640625" bestFit="1" customWidth="1"/>
    <col min="14" max="14" width="16" bestFit="1" customWidth="1"/>
    <col min="15" max="15" width="14.109375" bestFit="1" customWidth="1"/>
    <col min="16" max="16" width="9.44140625" bestFit="1" customWidth="1"/>
    <col min="17" max="17" width="7.33203125" bestFit="1" customWidth="1"/>
    <col min="18" max="18" width="16" bestFit="1" customWidth="1"/>
    <col min="19" max="19" width="7.44140625" bestFit="1" customWidth="1"/>
    <col min="20" max="20" width="9.88671875" bestFit="1" customWidth="1"/>
    <col min="21" max="21" width="11.33203125" bestFit="1" customWidth="1"/>
    <col min="22" max="22" width="7.88671875" bestFit="1" customWidth="1"/>
    <col min="23" max="23" width="7" bestFit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">
      <c r="A2" s="2">
        <v>46175</v>
      </c>
      <c r="B2">
        <v>8</v>
      </c>
      <c r="C2">
        <v>81</v>
      </c>
      <c r="D2">
        <v>85</v>
      </c>
      <c r="E2" t="s">
        <v>23</v>
      </c>
      <c r="F2">
        <v>34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 t="s">
        <v>24</v>
      </c>
      <c r="P2" t="s">
        <v>24</v>
      </c>
      <c r="Q2" s="3">
        <v>0</v>
      </c>
      <c r="R2" t="s">
        <v>25</v>
      </c>
      <c r="S2" t="s">
        <v>25</v>
      </c>
      <c r="T2">
        <v>0</v>
      </c>
      <c r="U2" t="s">
        <v>25</v>
      </c>
    </row>
    <row r="3" spans="1:23" x14ac:dyDescent="0.3">
      <c r="A3" s="2">
        <v>46175</v>
      </c>
      <c r="B3">
        <v>11</v>
      </c>
      <c r="C3">
        <v>81</v>
      </c>
      <c r="D3">
        <v>85</v>
      </c>
      <c r="E3" t="s">
        <v>23</v>
      </c>
      <c r="F3">
        <v>34</v>
      </c>
      <c r="G3">
        <v>0</v>
      </c>
      <c r="H3">
        <v>0</v>
      </c>
      <c r="I3">
        <v>9</v>
      </c>
      <c r="J3">
        <v>0</v>
      </c>
      <c r="K3">
        <v>0</v>
      </c>
      <c r="L3">
        <v>0</v>
      </c>
      <c r="M3">
        <v>0</v>
      </c>
      <c r="N3">
        <v>0</v>
      </c>
      <c r="O3" t="s">
        <v>24</v>
      </c>
      <c r="P3" t="s">
        <v>24</v>
      </c>
      <c r="Q3" s="3">
        <v>0</v>
      </c>
      <c r="R3" t="s">
        <v>25</v>
      </c>
      <c r="S3" t="s">
        <v>25</v>
      </c>
      <c r="T3">
        <v>0</v>
      </c>
      <c r="U3" t="s">
        <v>25</v>
      </c>
    </row>
    <row r="4" spans="1:23" x14ac:dyDescent="0.3">
      <c r="A4" s="2">
        <v>46175</v>
      </c>
      <c r="B4">
        <v>11</v>
      </c>
      <c r="C4">
        <v>84</v>
      </c>
      <c r="D4">
        <v>86</v>
      </c>
      <c r="E4" t="s">
        <v>26</v>
      </c>
      <c r="F4">
        <v>4</v>
      </c>
      <c r="G4">
        <v>2</v>
      </c>
      <c r="H4">
        <v>0</v>
      </c>
      <c r="I4">
        <v>6</v>
      </c>
      <c r="J4">
        <v>2</v>
      </c>
      <c r="K4">
        <v>0</v>
      </c>
      <c r="L4">
        <v>0</v>
      </c>
      <c r="M4">
        <v>0</v>
      </c>
      <c r="N4">
        <v>0</v>
      </c>
      <c r="O4" s="4">
        <v>2.3148148148148147E-5</v>
      </c>
      <c r="P4" t="s">
        <v>24</v>
      </c>
      <c r="Q4" s="5">
        <v>0.33329999999999999</v>
      </c>
      <c r="R4" s="3">
        <v>0</v>
      </c>
      <c r="S4" t="s">
        <v>25</v>
      </c>
      <c r="T4">
        <v>0</v>
      </c>
      <c r="U4" t="s">
        <v>25</v>
      </c>
      <c r="W4">
        <v>0.12</v>
      </c>
    </row>
    <row r="5" spans="1:23" x14ac:dyDescent="0.3">
      <c r="A5" s="2">
        <v>46175</v>
      </c>
      <c r="B5">
        <v>12</v>
      </c>
      <c r="C5">
        <v>81</v>
      </c>
      <c r="D5">
        <v>85</v>
      </c>
      <c r="E5" t="s">
        <v>23</v>
      </c>
      <c r="F5">
        <v>34</v>
      </c>
      <c r="G5">
        <v>4</v>
      </c>
      <c r="H5">
        <v>0</v>
      </c>
      <c r="I5">
        <v>26</v>
      </c>
      <c r="J5">
        <v>4</v>
      </c>
      <c r="K5">
        <v>2</v>
      </c>
      <c r="L5">
        <v>2</v>
      </c>
      <c r="M5">
        <v>0</v>
      </c>
      <c r="N5">
        <v>0</v>
      </c>
      <c r="O5" s="4">
        <v>6.9444444444444444E-5</v>
      </c>
      <c r="P5" t="s">
        <v>24</v>
      </c>
      <c r="Q5" s="5">
        <v>0.15379999999999999</v>
      </c>
      <c r="R5" s="3">
        <v>0.5</v>
      </c>
      <c r="S5" s="3">
        <v>1</v>
      </c>
      <c r="T5">
        <v>0</v>
      </c>
      <c r="U5" t="s">
        <v>25</v>
      </c>
      <c r="W5">
        <v>0.192</v>
      </c>
    </row>
    <row r="6" spans="1:23" x14ac:dyDescent="0.3">
      <c r="A6" s="2">
        <v>46175</v>
      </c>
      <c r="B6">
        <v>14</v>
      </c>
      <c r="C6">
        <v>81</v>
      </c>
      <c r="D6">
        <v>85</v>
      </c>
      <c r="E6" t="s">
        <v>23</v>
      </c>
      <c r="F6">
        <v>34</v>
      </c>
      <c r="G6">
        <v>10</v>
      </c>
      <c r="H6">
        <v>4</v>
      </c>
      <c r="I6">
        <v>44</v>
      </c>
      <c r="J6">
        <v>21</v>
      </c>
      <c r="K6">
        <v>14</v>
      </c>
      <c r="L6">
        <v>5</v>
      </c>
      <c r="M6">
        <v>6</v>
      </c>
      <c r="N6">
        <v>0</v>
      </c>
      <c r="O6" s="4">
        <v>2.3148148148148147E-5</v>
      </c>
      <c r="P6" s="4">
        <v>1.7939814814814815E-3</v>
      </c>
      <c r="Q6" s="5">
        <v>0.4773</v>
      </c>
      <c r="R6" s="5">
        <v>0.66669999999999996</v>
      </c>
      <c r="S6" s="5">
        <v>0.35709999999999997</v>
      </c>
      <c r="T6">
        <v>3</v>
      </c>
      <c r="U6" s="5">
        <v>0.33329999999999999</v>
      </c>
      <c r="V6" s="5">
        <v>0.42859999999999998</v>
      </c>
      <c r="W6">
        <v>1.968</v>
      </c>
    </row>
    <row r="7" spans="1:23" x14ac:dyDescent="0.3">
      <c r="A7" s="2">
        <v>46175</v>
      </c>
      <c r="B7">
        <v>16</v>
      </c>
      <c r="C7">
        <v>81</v>
      </c>
      <c r="D7">
        <v>85</v>
      </c>
      <c r="E7" t="s">
        <v>23</v>
      </c>
      <c r="F7">
        <v>34</v>
      </c>
      <c r="G7">
        <v>2</v>
      </c>
      <c r="H7">
        <v>0</v>
      </c>
      <c r="I7">
        <v>7</v>
      </c>
      <c r="J7">
        <v>2</v>
      </c>
      <c r="K7">
        <v>0</v>
      </c>
      <c r="L7">
        <v>0</v>
      </c>
      <c r="M7">
        <v>0</v>
      </c>
      <c r="N7">
        <v>0</v>
      </c>
      <c r="O7" s="4">
        <v>3.4722222222222222E-5</v>
      </c>
      <c r="P7" t="s">
        <v>24</v>
      </c>
      <c r="Q7" s="5">
        <v>0.28570000000000001</v>
      </c>
      <c r="R7" s="3">
        <v>0</v>
      </c>
      <c r="S7" t="s">
        <v>25</v>
      </c>
      <c r="T7">
        <v>0</v>
      </c>
      <c r="U7" t="s">
        <v>25</v>
      </c>
      <c r="W7">
        <v>0.192</v>
      </c>
    </row>
    <row r="8" spans="1:23" x14ac:dyDescent="0.3">
      <c r="A8" s="2">
        <v>46176</v>
      </c>
      <c r="B8">
        <v>11</v>
      </c>
      <c r="C8">
        <v>81</v>
      </c>
      <c r="D8">
        <v>85</v>
      </c>
      <c r="E8" t="s">
        <v>23</v>
      </c>
      <c r="F8">
        <v>33365</v>
      </c>
      <c r="G8">
        <v>50</v>
      </c>
      <c r="H8">
        <v>0</v>
      </c>
      <c r="I8">
        <v>3681</v>
      </c>
      <c r="J8">
        <v>70</v>
      </c>
      <c r="K8">
        <v>12</v>
      </c>
      <c r="L8">
        <v>12</v>
      </c>
      <c r="M8">
        <v>0</v>
      </c>
      <c r="N8">
        <v>0</v>
      </c>
      <c r="O8" s="4">
        <v>6.018518518518519E-4</v>
      </c>
      <c r="P8" t="s">
        <v>24</v>
      </c>
      <c r="Q8" s="5">
        <v>1.9E-2</v>
      </c>
      <c r="R8" s="5">
        <v>0.1714</v>
      </c>
      <c r="S8" s="3">
        <v>1</v>
      </c>
      <c r="T8">
        <v>0</v>
      </c>
      <c r="U8" t="s">
        <v>25</v>
      </c>
      <c r="V8" t="s">
        <v>25</v>
      </c>
      <c r="W8">
        <v>11.808</v>
      </c>
    </row>
    <row r="9" spans="1:23" x14ac:dyDescent="0.3">
      <c r="A9" s="2">
        <v>46176</v>
      </c>
      <c r="B9">
        <v>12</v>
      </c>
      <c r="C9">
        <v>81</v>
      </c>
      <c r="D9">
        <v>85</v>
      </c>
      <c r="E9" t="s">
        <v>23</v>
      </c>
      <c r="F9">
        <v>33365</v>
      </c>
      <c r="G9">
        <v>50</v>
      </c>
      <c r="H9">
        <v>5</v>
      </c>
      <c r="I9">
        <v>10368</v>
      </c>
      <c r="J9">
        <v>154</v>
      </c>
      <c r="K9">
        <v>35</v>
      </c>
      <c r="L9">
        <v>1</v>
      </c>
      <c r="M9">
        <v>19</v>
      </c>
      <c r="N9">
        <v>0</v>
      </c>
      <c r="O9" s="4">
        <v>7.7546296296296293E-4</v>
      </c>
      <c r="P9" s="4">
        <v>6.018518518518519E-4</v>
      </c>
      <c r="Q9" s="5">
        <v>1.49E-2</v>
      </c>
      <c r="R9" s="5">
        <v>0.2273</v>
      </c>
      <c r="S9" s="5">
        <v>2.86E-2</v>
      </c>
      <c r="T9">
        <v>15</v>
      </c>
      <c r="U9" s="5">
        <v>0.44119999999999998</v>
      </c>
      <c r="V9" s="5">
        <v>0.87880000000000003</v>
      </c>
      <c r="W9">
        <v>28.332000000000001</v>
      </c>
    </row>
    <row r="10" spans="1:23" x14ac:dyDescent="0.3">
      <c r="A10" s="2">
        <v>46176</v>
      </c>
      <c r="B10">
        <v>17</v>
      </c>
      <c r="C10">
        <v>81</v>
      </c>
      <c r="D10">
        <v>85</v>
      </c>
      <c r="E10" t="s">
        <v>23</v>
      </c>
      <c r="F10">
        <v>33365</v>
      </c>
      <c r="G10">
        <v>50</v>
      </c>
      <c r="H10">
        <v>3</v>
      </c>
      <c r="I10">
        <v>3214</v>
      </c>
      <c r="J10">
        <v>52</v>
      </c>
      <c r="K10">
        <v>13</v>
      </c>
      <c r="L10">
        <v>2</v>
      </c>
      <c r="M10">
        <v>5</v>
      </c>
      <c r="N10">
        <v>0</v>
      </c>
      <c r="O10" s="4">
        <v>7.0601851851851847E-4</v>
      </c>
      <c r="P10" s="4">
        <v>1.5972222222222223E-3</v>
      </c>
      <c r="Q10" s="5">
        <v>1.6199999999999999E-2</v>
      </c>
      <c r="R10" s="3">
        <v>0.25</v>
      </c>
      <c r="S10" s="5">
        <v>0.15379999999999999</v>
      </c>
      <c r="T10">
        <v>6</v>
      </c>
      <c r="U10" s="5">
        <v>0.54549999999999998</v>
      </c>
      <c r="V10" s="5">
        <v>0.72729999999999995</v>
      </c>
      <c r="W10">
        <v>10.542</v>
      </c>
    </row>
    <row r="11" spans="1:23" x14ac:dyDescent="0.3">
      <c r="A11" s="2">
        <v>46176</v>
      </c>
      <c r="B11">
        <v>18</v>
      </c>
      <c r="C11">
        <v>81</v>
      </c>
      <c r="D11">
        <v>85</v>
      </c>
      <c r="E11" t="s">
        <v>23</v>
      </c>
      <c r="F11">
        <v>33365</v>
      </c>
      <c r="G11">
        <v>1</v>
      </c>
      <c r="H11">
        <v>1</v>
      </c>
      <c r="I11">
        <v>1</v>
      </c>
      <c r="J11">
        <v>1</v>
      </c>
      <c r="K11">
        <v>1</v>
      </c>
      <c r="L11">
        <v>0</v>
      </c>
      <c r="M11">
        <v>1</v>
      </c>
      <c r="N11">
        <v>0</v>
      </c>
      <c r="O11" s="4">
        <v>1.1574074074074073E-5</v>
      </c>
      <c r="P11" s="4">
        <v>9.6064814814814819E-4</v>
      </c>
      <c r="Q11" s="3">
        <v>1</v>
      </c>
      <c r="R11" s="3">
        <v>1</v>
      </c>
      <c r="S11" s="3">
        <v>0</v>
      </c>
      <c r="T11">
        <v>0</v>
      </c>
      <c r="U11" s="3">
        <v>0</v>
      </c>
      <c r="V11" s="5">
        <v>1</v>
      </c>
      <c r="W11">
        <v>0.114</v>
      </c>
    </row>
    <row r="12" spans="1:23" x14ac:dyDescent="0.3">
      <c r="A12" s="2">
        <v>46182</v>
      </c>
      <c r="B12">
        <v>9</v>
      </c>
      <c r="C12">
        <v>81</v>
      </c>
      <c r="D12">
        <v>85</v>
      </c>
      <c r="E12" t="s">
        <v>23</v>
      </c>
      <c r="F12">
        <v>7533</v>
      </c>
      <c r="G12">
        <v>25</v>
      </c>
      <c r="H12">
        <v>4</v>
      </c>
      <c r="I12">
        <v>18719</v>
      </c>
      <c r="J12">
        <v>232</v>
      </c>
      <c r="K12">
        <v>37</v>
      </c>
      <c r="L12">
        <v>16</v>
      </c>
      <c r="M12">
        <v>18</v>
      </c>
      <c r="N12">
        <v>1</v>
      </c>
      <c r="O12" s="4">
        <v>8.9120370370370373E-4</v>
      </c>
      <c r="P12" s="4">
        <v>1.2037037037037038E-3</v>
      </c>
      <c r="Q12" s="5">
        <v>1.24E-2</v>
      </c>
      <c r="R12" s="5">
        <v>0.1595</v>
      </c>
      <c r="S12" s="5">
        <v>0.43240000000000001</v>
      </c>
      <c r="T12">
        <v>3</v>
      </c>
      <c r="U12" s="5">
        <v>0.1429</v>
      </c>
      <c r="V12" s="5">
        <v>0.95240000000000002</v>
      </c>
    </row>
    <row r="13" spans="1:23" x14ac:dyDescent="0.3">
      <c r="A13" s="2">
        <v>46182</v>
      </c>
      <c r="B13">
        <v>10</v>
      </c>
      <c r="C13">
        <v>81</v>
      </c>
      <c r="D13">
        <v>85</v>
      </c>
      <c r="E13" t="s">
        <v>23</v>
      </c>
      <c r="F13">
        <v>7533</v>
      </c>
      <c r="G13">
        <v>25</v>
      </c>
      <c r="H13">
        <v>9</v>
      </c>
      <c r="I13">
        <v>20163</v>
      </c>
      <c r="J13">
        <v>250</v>
      </c>
      <c r="K13">
        <v>54</v>
      </c>
      <c r="L13">
        <v>20</v>
      </c>
      <c r="M13">
        <v>26</v>
      </c>
      <c r="N13">
        <v>0</v>
      </c>
      <c r="O13" s="4">
        <v>8.9120370370370373E-4</v>
      </c>
      <c r="P13" s="4">
        <v>9.3749999999999997E-4</v>
      </c>
      <c r="Q13" s="5">
        <v>1.24E-2</v>
      </c>
      <c r="R13" s="5">
        <v>0.216</v>
      </c>
      <c r="S13" s="5">
        <v>0.37040000000000001</v>
      </c>
      <c r="T13">
        <v>8</v>
      </c>
      <c r="U13" s="5">
        <v>0.23530000000000001</v>
      </c>
      <c r="V13" s="5">
        <v>0.85289999999999999</v>
      </c>
    </row>
    <row r="14" spans="1:23" x14ac:dyDescent="0.3">
      <c r="A14" s="2">
        <v>46182</v>
      </c>
      <c r="B14">
        <v>11</v>
      </c>
      <c r="C14">
        <v>81</v>
      </c>
      <c r="D14">
        <v>85</v>
      </c>
      <c r="E14" t="s">
        <v>23</v>
      </c>
      <c r="F14">
        <v>7533</v>
      </c>
      <c r="G14">
        <v>25</v>
      </c>
      <c r="H14">
        <v>8</v>
      </c>
      <c r="I14">
        <v>12067</v>
      </c>
      <c r="J14">
        <v>121</v>
      </c>
      <c r="K14">
        <v>18</v>
      </c>
      <c r="L14">
        <v>5</v>
      </c>
      <c r="M14">
        <v>13</v>
      </c>
      <c r="N14">
        <v>0</v>
      </c>
      <c r="O14" s="4">
        <v>1.1226851851851851E-3</v>
      </c>
      <c r="P14" s="4">
        <v>1.7824074074074075E-3</v>
      </c>
      <c r="Q14" s="3">
        <v>0.01</v>
      </c>
      <c r="R14" s="5">
        <v>0.14879999999999999</v>
      </c>
      <c r="S14" s="5">
        <v>0.27779999999999999</v>
      </c>
      <c r="T14">
        <v>0</v>
      </c>
      <c r="U14" s="3">
        <v>0</v>
      </c>
      <c r="V14" s="5">
        <v>1</v>
      </c>
    </row>
    <row r="15" spans="1:23" x14ac:dyDescent="0.3">
      <c r="A15" s="2">
        <v>46182</v>
      </c>
      <c r="B15">
        <v>12</v>
      </c>
      <c r="C15">
        <v>81</v>
      </c>
      <c r="D15">
        <v>85</v>
      </c>
      <c r="E15" t="s">
        <v>23</v>
      </c>
      <c r="F15">
        <v>7533</v>
      </c>
      <c r="G15">
        <v>25</v>
      </c>
      <c r="H15">
        <v>7</v>
      </c>
      <c r="I15">
        <v>9021</v>
      </c>
      <c r="J15">
        <v>85</v>
      </c>
      <c r="K15">
        <v>17</v>
      </c>
      <c r="L15">
        <v>7</v>
      </c>
      <c r="M15">
        <v>10</v>
      </c>
      <c r="N15">
        <v>1</v>
      </c>
      <c r="O15" s="4">
        <v>1.1574074074074073E-3</v>
      </c>
      <c r="P15" s="4">
        <v>1.4004629629629629E-3</v>
      </c>
      <c r="Q15" s="5">
        <v>9.4000000000000004E-3</v>
      </c>
      <c r="R15" s="3">
        <v>0.2</v>
      </c>
      <c r="S15" s="5">
        <v>0.4118</v>
      </c>
      <c r="T15">
        <v>0</v>
      </c>
      <c r="U15" s="3">
        <v>0</v>
      </c>
      <c r="V15" s="5">
        <v>1</v>
      </c>
    </row>
    <row r="16" spans="1:23" x14ac:dyDescent="0.3">
      <c r="A16" s="2">
        <v>46182</v>
      </c>
      <c r="B16">
        <v>13</v>
      </c>
      <c r="C16">
        <v>81</v>
      </c>
      <c r="D16">
        <v>85</v>
      </c>
      <c r="E16" t="s">
        <v>23</v>
      </c>
      <c r="F16">
        <v>7533</v>
      </c>
      <c r="G16">
        <v>25</v>
      </c>
      <c r="H16">
        <v>6</v>
      </c>
      <c r="I16">
        <v>14219</v>
      </c>
      <c r="J16">
        <v>182</v>
      </c>
      <c r="K16">
        <v>26</v>
      </c>
      <c r="L16">
        <v>11</v>
      </c>
      <c r="M16">
        <v>14</v>
      </c>
      <c r="N16">
        <v>0</v>
      </c>
      <c r="O16" s="4">
        <v>8.4490740740740739E-4</v>
      </c>
      <c r="P16" s="4">
        <v>1.736111111111111E-3</v>
      </c>
      <c r="Q16" s="5">
        <v>1.2800000000000001E-2</v>
      </c>
      <c r="R16" s="5">
        <v>0.1429</v>
      </c>
      <c r="S16" s="5">
        <v>0.42309999999999998</v>
      </c>
      <c r="T16">
        <v>1</v>
      </c>
      <c r="U16" s="5">
        <v>6.6699999999999995E-2</v>
      </c>
      <c r="V16" s="5">
        <v>1</v>
      </c>
    </row>
    <row r="17" spans="1:22" x14ac:dyDescent="0.3">
      <c r="A17" s="2">
        <v>46182</v>
      </c>
      <c r="B17">
        <v>14</v>
      </c>
      <c r="C17">
        <v>81</v>
      </c>
      <c r="D17">
        <v>85</v>
      </c>
      <c r="E17" t="s">
        <v>23</v>
      </c>
      <c r="F17">
        <v>7533</v>
      </c>
      <c r="G17">
        <v>25</v>
      </c>
      <c r="H17">
        <v>6</v>
      </c>
      <c r="I17">
        <v>6219</v>
      </c>
      <c r="J17">
        <v>72</v>
      </c>
      <c r="K17">
        <v>13</v>
      </c>
      <c r="L17">
        <v>6</v>
      </c>
      <c r="M17">
        <v>7</v>
      </c>
      <c r="N17">
        <v>0</v>
      </c>
      <c r="O17" s="4">
        <v>9.1435185185185185E-4</v>
      </c>
      <c r="P17" s="4">
        <v>9.0277777777777774E-4</v>
      </c>
      <c r="Q17" s="5">
        <v>1.1599999999999999E-2</v>
      </c>
      <c r="R17" s="5">
        <v>0.18060000000000001</v>
      </c>
      <c r="S17" s="5">
        <v>0.46150000000000002</v>
      </c>
      <c r="T17">
        <v>0</v>
      </c>
      <c r="U17" s="3">
        <v>0</v>
      </c>
      <c r="V17" s="5">
        <v>1</v>
      </c>
    </row>
    <row r="18" spans="1:22" x14ac:dyDescent="0.3">
      <c r="A18" s="2">
        <v>46182</v>
      </c>
      <c r="B18">
        <v>15</v>
      </c>
      <c r="C18">
        <v>81</v>
      </c>
      <c r="D18">
        <v>85</v>
      </c>
      <c r="E18" t="s">
        <v>23</v>
      </c>
      <c r="F18">
        <v>7533</v>
      </c>
      <c r="G18">
        <v>25</v>
      </c>
      <c r="H18">
        <v>8</v>
      </c>
      <c r="I18">
        <v>11882</v>
      </c>
      <c r="J18">
        <v>153</v>
      </c>
      <c r="K18">
        <v>30</v>
      </c>
      <c r="L18">
        <v>14</v>
      </c>
      <c r="M18">
        <v>16</v>
      </c>
      <c r="N18">
        <v>0</v>
      </c>
      <c r="O18" s="4">
        <v>7.9861111111111116E-4</v>
      </c>
      <c r="P18" s="4">
        <v>1.9791666666666668E-3</v>
      </c>
      <c r="Q18" s="5">
        <v>1.29E-2</v>
      </c>
      <c r="R18" s="5">
        <v>0.1961</v>
      </c>
      <c r="S18" s="5">
        <v>0.4667</v>
      </c>
      <c r="T18">
        <v>0</v>
      </c>
      <c r="U18" s="3">
        <v>0</v>
      </c>
      <c r="V18" s="5">
        <v>1</v>
      </c>
    </row>
    <row r="19" spans="1:22" x14ac:dyDescent="0.3">
      <c r="A19" s="2">
        <v>46182</v>
      </c>
      <c r="B19">
        <v>16</v>
      </c>
      <c r="C19">
        <v>81</v>
      </c>
      <c r="D19">
        <v>85</v>
      </c>
      <c r="E19" t="s">
        <v>23</v>
      </c>
      <c r="F19">
        <v>7533</v>
      </c>
      <c r="G19">
        <v>25</v>
      </c>
      <c r="H19">
        <v>9</v>
      </c>
      <c r="I19">
        <v>16923</v>
      </c>
      <c r="J19">
        <v>262</v>
      </c>
      <c r="K19">
        <v>42</v>
      </c>
      <c r="L19">
        <v>13</v>
      </c>
      <c r="M19">
        <v>29</v>
      </c>
      <c r="N19">
        <v>0</v>
      </c>
      <c r="O19" s="4">
        <v>6.7129629629629625E-4</v>
      </c>
      <c r="P19" s="4">
        <v>1.4467592592592592E-3</v>
      </c>
      <c r="Q19" s="5">
        <v>1.55E-2</v>
      </c>
      <c r="R19" s="5">
        <v>0.1603</v>
      </c>
      <c r="S19" s="5">
        <v>0.3095</v>
      </c>
      <c r="T19">
        <v>0</v>
      </c>
      <c r="U19" s="3">
        <v>0</v>
      </c>
      <c r="V19" s="5">
        <v>1</v>
      </c>
    </row>
    <row r="20" spans="1:22" x14ac:dyDescent="0.3">
      <c r="A20" s="2">
        <v>46182</v>
      </c>
      <c r="B20">
        <v>17</v>
      </c>
      <c r="C20">
        <v>81</v>
      </c>
      <c r="D20">
        <v>85</v>
      </c>
      <c r="E20" t="s">
        <v>23</v>
      </c>
      <c r="F20">
        <v>7533</v>
      </c>
      <c r="G20">
        <v>25</v>
      </c>
      <c r="H20">
        <v>7</v>
      </c>
      <c r="I20">
        <v>17295</v>
      </c>
      <c r="J20">
        <v>282</v>
      </c>
      <c r="K20">
        <v>45</v>
      </c>
      <c r="L20">
        <v>18</v>
      </c>
      <c r="M20">
        <v>27</v>
      </c>
      <c r="N20">
        <v>0</v>
      </c>
      <c r="O20" s="4">
        <v>6.5972222222222224E-4</v>
      </c>
      <c r="P20" s="4">
        <v>9.1435185185185185E-4</v>
      </c>
      <c r="Q20" s="5">
        <v>1.6299999999999999E-2</v>
      </c>
      <c r="R20" s="5">
        <v>0.15959999999999999</v>
      </c>
      <c r="S20" s="3">
        <v>0.4</v>
      </c>
      <c r="T20">
        <v>0</v>
      </c>
      <c r="U20" s="3">
        <v>0</v>
      </c>
      <c r="V20" s="5">
        <v>1</v>
      </c>
    </row>
    <row r="21" spans="1:22" x14ac:dyDescent="0.3">
      <c r="A21" s="2">
        <v>46182</v>
      </c>
      <c r="B21">
        <v>18</v>
      </c>
      <c r="C21">
        <v>81</v>
      </c>
      <c r="D21">
        <v>85</v>
      </c>
      <c r="E21" t="s">
        <v>23</v>
      </c>
      <c r="F21">
        <v>7533</v>
      </c>
      <c r="G21">
        <v>25</v>
      </c>
      <c r="H21">
        <v>0</v>
      </c>
      <c r="I21">
        <v>24262</v>
      </c>
      <c r="J21">
        <v>261</v>
      </c>
      <c r="K21">
        <v>63</v>
      </c>
      <c r="L21">
        <v>32</v>
      </c>
      <c r="M21">
        <v>0</v>
      </c>
      <c r="N21">
        <v>0</v>
      </c>
      <c r="O21" s="4">
        <v>1.0532407407407407E-3</v>
      </c>
      <c r="P21" t="s">
        <v>24</v>
      </c>
      <c r="Q21" s="5">
        <v>1.0800000000000001E-2</v>
      </c>
      <c r="R21" s="5">
        <v>0.2414</v>
      </c>
      <c r="S21" s="5">
        <v>0.50790000000000002</v>
      </c>
      <c r="T21">
        <v>31</v>
      </c>
      <c r="U21" s="3">
        <v>1</v>
      </c>
      <c r="V21" s="5">
        <v>1</v>
      </c>
    </row>
    <row r="22" spans="1:22" x14ac:dyDescent="0.3">
      <c r="A22" s="2">
        <v>46182</v>
      </c>
      <c r="B22">
        <v>19</v>
      </c>
      <c r="C22">
        <v>81</v>
      </c>
      <c r="D22">
        <v>85</v>
      </c>
      <c r="E22" t="s">
        <v>23</v>
      </c>
      <c r="F22">
        <v>7533</v>
      </c>
      <c r="G22">
        <v>25</v>
      </c>
      <c r="H22">
        <v>0</v>
      </c>
      <c r="I22">
        <v>28325</v>
      </c>
      <c r="J22">
        <v>277</v>
      </c>
      <c r="K22">
        <v>42</v>
      </c>
      <c r="L22">
        <v>15</v>
      </c>
      <c r="M22">
        <v>0</v>
      </c>
      <c r="N22">
        <v>0</v>
      </c>
      <c r="O22" s="4">
        <v>1.1458333333333333E-3</v>
      </c>
      <c r="P22" t="s">
        <v>24</v>
      </c>
      <c r="Q22" s="5">
        <v>9.7999999999999997E-3</v>
      </c>
      <c r="R22" s="5">
        <v>0.15160000000000001</v>
      </c>
      <c r="S22" s="5">
        <v>0.35709999999999997</v>
      </c>
      <c r="T22">
        <v>27</v>
      </c>
      <c r="U22" s="3">
        <v>1</v>
      </c>
      <c r="V22" t="s">
        <v>25</v>
      </c>
    </row>
    <row r="23" spans="1:22" x14ac:dyDescent="0.3">
      <c r="A23" s="2">
        <v>46182</v>
      </c>
      <c r="B23">
        <v>20</v>
      </c>
      <c r="C23">
        <v>81</v>
      </c>
      <c r="D23">
        <v>85</v>
      </c>
      <c r="E23" t="s">
        <v>23</v>
      </c>
      <c r="F23">
        <v>7533</v>
      </c>
      <c r="G23">
        <v>1</v>
      </c>
      <c r="H23">
        <v>0</v>
      </c>
      <c r="I23">
        <v>246</v>
      </c>
      <c r="J23">
        <v>1</v>
      </c>
      <c r="K23">
        <v>0</v>
      </c>
      <c r="L23">
        <v>0</v>
      </c>
      <c r="M23">
        <v>0</v>
      </c>
      <c r="N23">
        <v>0</v>
      </c>
      <c r="O23" s="4">
        <v>2.8240740740740739E-3</v>
      </c>
      <c r="P23" t="s">
        <v>24</v>
      </c>
      <c r="Q23" s="5">
        <v>4.1000000000000003E-3</v>
      </c>
      <c r="R23" s="3">
        <v>0</v>
      </c>
      <c r="S23" t="s">
        <v>25</v>
      </c>
      <c r="T23">
        <v>0</v>
      </c>
      <c r="U2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1A0A1-DC33-4936-9515-37E0B3821B5E}">
  <dimension ref="A1:K33"/>
  <sheetViews>
    <sheetView tabSelected="1" workbookViewId="0">
      <selection activeCell="B20" sqref="B20"/>
    </sheetView>
  </sheetViews>
  <sheetFormatPr defaultColWidth="11.77734375" defaultRowHeight="14.4" x14ac:dyDescent="0.3"/>
  <cols>
    <col min="1" max="1" width="13" bestFit="1" customWidth="1"/>
    <col min="2" max="2" width="25.6640625" bestFit="1" customWidth="1"/>
    <col min="7" max="7" width="18.109375" customWidth="1"/>
    <col min="11" max="11" width="11.77734375" style="8"/>
  </cols>
  <sheetData>
    <row r="1" spans="1:11" x14ac:dyDescent="0.3">
      <c r="A1" t="s">
        <v>27</v>
      </c>
      <c r="B1" t="s">
        <v>4</v>
      </c>
      <c r="C1" t="s">
        <v>28</v>
      </c>
      <c r="D1" t="s">
        <v>8</v>
      </c>
      <c r="E1" t="s">
        <v>9</v>
      </c>
      <c r="F1" t="s">
        <v>29</v>
      </c>
      <c r="G1" t="s">
        <v>13</v>
      </c>
      <c r="H1" t="s">
        <v>16</v>
      </c>
      <c r="I1" t="s">
        <v>30</v>
      </c>
      <c r="J1" t="s">
        <v>31</v>
      </c>
      <c r="K1" s="8" t="s">
        <v>15</v>
      </c>
    </row>
    <row r="2" spans="1:11" x14ac:dyDescent="0.3">
      <c r="A2" s="2">
        <v>46157</v>
      </c>
      <c r="B2" t="s">
        <v>32</v>
      </c>
      <c r="C2">
        <v>5</v>
      </c>
      <c r="D2" s="6">
        <v>13411</v>
      </c>
      <c r="E2" s="6">
        <v>618</v>
      </c>
      <c r="F2">
        <v>26</v>
      </c>
      <c r="G2">
        <v>0</v>
      </c>
      <c r="H2" s="7">
        <f>IFERROR(E2/D2,)</f>
        <v>4.6081574826634851E-2</v>
      </c>
      <c r="I2" s="7">
        <f>IFERROR(F2/E2,)</f>
        <v>4.2071197411003236E-2</v>
      </c>
      <c r="J2" s="7">
        <f>IFERROR(G2/F2,)</f>
        <v>0</v>
      </c>
      <c r="K2" s="9">
        <v>1.0185185185185184E-3</v>
      </c>
    </row>
    <row r="3" spans="1:11" x14ac:dyDescent="0.3">
      <c r="A3" s="2">
        <v>46158</v>
      </c>
      <c r="B3" t="s">
        <v>32</v>
      </c>
      <c r="C3" t="s">
        <v>33</v>
      </c>
      <c r="D3" s="6">
        <v>9304</v>
      </c>
      <c r="E3" s="6">
        <v>490</v>
      </c>
      <c r="F3">
        <v>9</v>
      </c>
      <c r="G3">
        <v>0</v>
      </c>
      <c r="H3" s="7">
        <f t="shared" ref="H3:J33" si="0">IFERROR(E3/D3,)</f>
        <v>5.2665520206362858E-2</v>
      </c>
      <c r="I3" s="7">
        <f t="shared" si="0"/>
        <v>1.8367346938775512E-2</v>
      </c>
      <c r="J3" s="7">
        <f t="shared" si="0"/>
        <v>0</v>
      </c>
      <c r="K3" s="9">
        <v>0</v>
      </c>
    </row>
    <row r="4" spans="1:11" x14ac:dyDescent="0.3">
      <c r="A4" s="2">
        <v>46160</v>
      </c>
      <c r="B4" t="s">
        <v>32</v>
      </c>
      <c r="C4">
        <v>5</v>
      </c>
      <c r="D4" s="6">
        <v>13285</v>
      </c>
      <c r="E4" s="6">
        <v>652</v>
      </c>
      <c r="F4">
        <v>31</v>
      </c>
      <c r="G4">
        <v>2</v>
      </c>
      <c r="H4" s="7">
        <f t="shared" si="0"/>
        <v>4.907790741437712E-2</v>
      </c>
      <c r="I4" s="7">
        <f t="shared" si="0"/>
        <v>4.7546012269938653E-2</v>
      </c>
      <c r="J4" s="7">
        <f t="shared" si="0"/>
        <v>6.4516129032258063E-2</v>
      </c>
      <c r="K4" s="9">
        <v>1.8287037037037037E-3</v>
      </c>
    </row>
    <row r="5" spans="1:11" x14ac:dyDescent="0.3">
      <c r="A5" s="2">
        <v>46161</v>
      </c>
      <c r="B5" t="s">
        <v>32</v>
      </c>
      <c r="C5">
        <v>4</v>
      </c>
      <c r="D5" s="6">
        <v>12417</v>
      </c>
      <c r="E5" s="6">
        <v>728</v>
      </c>
      <c r="F5">
        <v>28</v>
      </c>
      <c r="G5">
        <v>0</v>
      </c>
      <c r="H5" s="7">
        <f t="shared" si="0"/>
        <v>5.8629298542321011E-2</v>
      </c>
      <c r="I5" s="7">
        <f t="shared" si="0"/>
        <v>3.8461538461538464E-2</v>
      </c>
      <c r="J5" s="7">
        <f t="shared" si="0"/>
        <v>0</v>
      </c>
      <c r="K5" s="9">
        <v>1.8865740740740742E-3</v>
      </c>
    </row>
    <row r="6" spans="1:11" x14ac:dyDescent="0.3">
      <c r="A6" s="2">
        <v>46162</v>
      </c>
      <c r="B6" t="s">
        <v>32</v>
      </c>
      <c r="C6">
        <v>5</v>
      </c>
      <c r="D6" s="6">
        <v>12507</v>
      </c>
      <c r="E6" s="6">
        <v>708</v>
      </c>
      <c r="F6">
        <v>30</v>
      </c>
      <c r="G6">
        <v>2</v>
      </c>
      <c r="H6" s="7">
        <f t="shared" si="0"/>
        <v>5.6608299352362675E-2</v>
      </c>
      <c r="I6" s="7">
        <f t="shared" si="0"/>
        <v>4.2372881355932202E-2</v>
      </c>
      <c r="J6" s="7">
        <f t="shared" si="0"/>
        <v>6.6666666666666666E-2</v>
      </c>
      <c r="K6" s="9">
        <v>2.3032407407407407E-3</v>
      </c>
    </row>
    <row r="7" spans="1:11" x14ac:dyDescent="0.3">
      <c r="A7" s="2">
        <v>46163</v>
      </c>
      <c r="B7" t="s">
        <v>32</v>
      </c>
      <c r="C7">
        <v>5</v>
      </c>
      <c r="D7" s="6">
        <v>12650</v>
      </c>
      <c r="E7" s="6">
        <v>664</v>
      </c>
      <c r="F7">
        <v>24</v>
      </c>
      <c r="G7">
        <v>2</v>
      </c>
      <c r="H7" s="7">
        <f t="shared" si="0"/>
        <v>5.2490118577075098E-2</v>
      </c>
      <c r="I7" s="7">
        <f t="shared" si="0"/>
        <v>3.614457831325301E-2</v>
      </c>
      <c r="J7" s="7">
        <f t="shared" si="0"/>
        <v>8.3333333333333329E-2</v>
      </c>
      <c r="K7" s="9">
        <v>1.8749999999999999E-3</v>
      </c>
    </row>
    <row r="8" spans="1:11" x14ac:dyDescent="0.3">
      <c r="A8" s="2">
        <v>46164</v>
      </c>
      <c r="B8" t="s">
        <v>32</v>
      </c>
      <c r="C8">
        <v>5</v>
      </c>
      <c r="D8" s="6">
        <v>13055</v>
      </c>
      <c r="E8" s="6">
        <v>627</v>
      </c>
      <c r="F8">
        <v>23</v>
      </c>
      <c r="G8">
        <v>1</v>
      </c>
      <c r="H8" s="7">
        <f t="shared" si="0"/>
        <v>4.8027575641516662E-2</v>
      </c>
      <c r="I8" s="7">
        <f t="shared" si="0"/>
        <v>3.6682615629984053E-2</v>
      </c>
      <c r="J8" s="7">
        <f t="shared" si="0"/>
        <v>4.3478260869565216E-2</v>
      </c>
      <c r="K8" s="9">
        <v>2.1759259259259258E-3</v>
      </c>
    </row>
    <row r="9" spans="1:11" x14ac:dyDescent="0.3">
      <c r="A9" s="2">
        <v>46165</v>
      </c>
      <c r="B9" t="s">
        <v>32</v>
      </c>
      <c r="C9" t="s">
        <v>33</v>
      </c>
      <c r="D9" s="6">
        <v>9087</v>
      </c>
      <c r="E9" s="6">
        <v>487</v>
      </c>
      <c r="F9">
        <v>11</v>
      </c>
      <c r="G9">
        <v>0</v>
      </c>
      <c r="H9" s="7">
        <f t="shared" si="0"/>
        <v>5.3593045009354023E-2</v>
      </c>
      <c r="I9" s="7">
        <f t="shared" si="0"/>
        <v>2.2587268993839837E-2</v>
      </c>
      <c r="J9" s="7">
        <f t="shared" si="0"/>
        <v>0</v>
      </c>
      <c r="K9" s="9">
        <v>0</v>
      </c>
    </row>
    <row r="10" spans="1:11" x14ac:dyDescent="0.3">
      <c r="A10" s="2">
        <v>46167</v>
      </c>
      <c r="B10" t="s">
        <v>32</v>
      </c>
      <c r="C10">
        <v>6</v>
      </c>
      <c r="D10">
        <v>12443</v>
      </c>
      <c r="E10">
        <v>671</v>
      </c>
      <c r="F10">
        <v>31</v>
      </c>
      <c r="G10">
        <v>0</v>
      </c>
      <c r="H10" s="7">
        <f t="shared" si="0"/>
        <v>5.3925902113638187E-2</v>
      </c>
      <c r="I10" s="7">
        <f t="shared" si="0"/>
        <v>4.6199701937406856E-2</v>
      </c>
      <c r="J10" s="7">
        <f t="shared" si="0"/>
        <v>0</v>
      </c>
      <c r="K10" s="9">
        <v>1.4236111111111112E-3</v>
      </c>
    </row>
    <row r="11" spans="1:11" x14ac:dyDescent="0.3">
      <c r="A11" s="2">
        <v>46168</v>
      </c>
      <c r="B11" t="s">
        <v>32</v>
      </c>
      <c r="C11">
        <v>6</v>
      </c>
      <c r="D11">
        <v>13026</v>
      </c>
      <c r="E11">
        <v>615</v>
      </c>
      <c r="F11">
        <v>25</v>
      </c>
      <c r="G11">
        <v>0</v>
      </c>
      <c r="H11" s="7">
        <f t="shared" si="0"/>
        <v>4.7213265776140025E-2</v>
      </c>
      <c r="I11" s="7">
        <f t="shared" si="0"/>
        <v>4.065040650406504E-2</v>
      </c>
      <c r="J11" s="7">
        <f t="shared" si="0"/>
        <v>0</v>
      </c>
      <c r="K11" s="9">
        <v>1.1458333333333333E-3</v>
      </c>
    </row>
    <row r="12" spans="1:11" x14ac:dyDescent="0.3">
      <c r="A12" s="2">
        <v>46169</v>
      </c>
      <c r="B12" t="s">
        <v>32</v>
      </c>
      <c r="C12">
        <v>6</v>
      </c>
      <c r="D12" s="6">
        <v>12685</v>
      </c>
      <c r="E12" s="6">
        <v>678</v>
      </c>
      <c r="F12">
        <v>15</v>
      </c>
      <c r="G12">
        <v>0</v>
      </c>
      <c r="H12" s="7">
        <f t="shared" si="0"/>
        <v>5.3448955459203785E-2</v>
      </c>
      <c r="I12" s="7">
        <f t="shared" si="0"/>
        <v>2.2123893805309734E-2</v>
      </c>
      <c r="J12" s="7">
        <f t="shared" si="0"/>
        <v>0</v>
      </c>
      <c r="K12" s="9">
        <v>2.3379629629629631E-3</v>
      </c>
    </row>
    <row r="13" spans="1:11" x14ac:dyDescent="0.3">
      <c r="A13" s="2">
        <v>46170</v>
      </c>
      <c r="B13" t="s">
        <v>32</v>
      </c>
      <c r="C13">
        <v>6</v>
      </c>
      <c r="D13" s="6">
        <v>3257</v>
      </c>
      <c r="E13" s="6">
        <v>218</v>
      </c>
      <c r="F13">
        <v>11</v>
      </c>
      <c r="G13">
        <v>0</v>
      </c>
      <c r="H13" s="7">
        <f t="shared" si="0"/>
        <v>6.6932760208781084E-2</v>
      </c>
      <c r="I13" s="7">
        <f t="shared" si="0"/>
        <v>5.0458715596330278E-2</v>
      </c>
      <c r="J13" s="7">
        <f t="shared" si="0"/>
        <v>0</v>
      </c>
      <c r="K13" s="9">
        <v>1.9212962962962964E-3</v>
      </c>
    </row>
    <row r="14" spans="1:11" x14ac:dyDescent="0.3">
      <c r="A14" s="2">
        <v>46171</v>
      </c>
      <c r="B14" t="s">
        <v>32</v>
      </c>
      <c r="C14">
        <v>5</v>
      </c>
      <c r="D14" s="6">
        <v>0</v>
      </c>
      <c r="E14" s="6" t="s">
        <v>33</v>
      </c>
      <c r="F14" t="s">
        <v>33</v>
      </c>
      <c r="G14" t="s">
        <v>33</v>
      </c>
      <c r="H14" s="7">
        <f t="shared" si="0"/>
        <v>0</v>
      </c>
      <c r="I14" s="7">
        <f t="shared" si="0"/>
        <v>0</v>
      </c>
      <c r="J14" s="7">
        <f t="shared" si="0"/>
        <v>0</v>
      </c>
      <c r="K14" s="9">
        <v>0</v>
      </c>
    </row>
    <row r="15" spans="1:11" x14ac:dyDescent="0.3">
      <c r="A15" s="2">
        <v>46172</v>
      </c>
      <c r="B15" t="s">
        <v>32</v>
      </c>
      <c r="C15">
        <v>1</v>
      </c>
      <c r="D15" s="6">
        <v>0</v>
      </c>
      <c r="E15" s="6" t="s">
        <v>33</v>
      </c>
      <c r="F15" t="s">
        <v>33</v>
      </c>
      <c r="G15" t="s">
        <v>33</v>
      </c>
      <c r="H15" s="7">
        <f t="shared" si="0"/>
        <v>0</v>
      </c>
      <c r="I15" s="7">
        <f t="shared" si="0"/>
        <v>0</v>
      </c>
      <c r="J15" s="7">
        <f t="shared" si="0"/>
        <v>0</v>
      </c>
      <c r="K15" s="9">
        <v>0</v>
      </c>
    </row>
    <row r="16" spans="1:11" x14ac:dyDescent="0.3">
      <c r="A16" s="2">
        <v>46174</v>
      </c>
      <c r="B16" t="s">
        <v>32</v>
      </c>
      <c r="C16">
        <v>5</v>
      </c>
      <c r="D16" s="6">
        <v>10635</v>
      </c>
      <c r="E16" s="6">
        <v>573</v>
      </c>
      <c r="F16">
        <v>39</v>
      </c>
      <c r="G16">
        <v>2</v>
      </c>
      <c r="H16" s="7">
        <f t="shared" si="0"/>
        <v>5.3878702397743297E-2</v>
      </c>
      <c r="I16" s="7">
        <f t="shared" si="0"/>
        <v>6.8062827225130892E-2</v>
      </c>
      <c r="J16" s="7">
        <f t="shared" si="0"/>
        <v>5.128205128205128E-2</v>
      </c>
      <c r="K16" s="9">
        <v>2.3842592592592591E-3</v>
      </c>
    </row>
    <row r="17" spans="1:11" x14ac:dyDescent="0.3">
      <c r="A17" s="2">
        <v>46175</v>
      </c>
      <c r="B17" t="s">
        <v>32</v>
      </c>
      <c r="C17">
        <v>7</v>
      </c>
      <c r="D17" s="6">
        <v>12034</v>
      </c>
      <c r="E17" s="6">
        <v>637</v>
      </c>
      <c r="F17">
        <v>24</v>
      </c>
      <c r="G17">
        <v>0</v>
      </c>
      <c r="H17" s="7">
        <f t="shared" si="0"/>
        <v>5.2933355492770486E-2</v>
      </c>
      <c r="I17" s="7">
        <f t="shared" si="0"/>
        <v>3.7676609105180531E-2</v>
      </c>
      <c r="J17" s="7">
        <f t="shared" si="0"/>
        <v>0</v>
      </c>
      <c r="K17" s="9">
        <v>1.5277777777777779E-3</v>
      </c>
    </row>
    <row r="18" spans="1:11" x14ac:dyDescent="0.3">
      <c r="A18" s="2">
        <v>46157</v>
      </c>
      <c r="B18" t="s">
        <v>34</v>
      </c>
      <c r="C18" s="10">
        <v>0</v>
      </c>
      <c r="D18" s="6">
        <v>47</v>
      </c>
      <c r="E18" s="6">
        <v>15</v>
      </c>
      <c r="F18">
        <v>0</v>
      </c>
      <c r="G18">
        <v>0</v>
      </c>
      <c r="H18" s="7">
        <f t="shared" si="0"/>
        <v>0.31914893617021278</v>
      </c>
      <c r="I18" s="7">
        <f t="shared" si="0"/>
        <v>0</v>
      </c>
      <c r="J18" s="7">
        <f t="shared" si="0"/>
        <v>0</v>
      </c>
      <c r="K18" s="9">
        <v>0</v>
      </c>
    </row>
    <row r="19" spans="1:11" x14ac:dyDescent="0.3">
      <c r="A19" s="2">
        <v>46158</v>
      </c>
      <c r="B19" t="s">
        <v>34</v>
      </c>
      <c r="C19" s="10"/>
      <c r="D19" s="6">
        <v>11</v>
      </c>
      <c r="E19" s="6">
        <v>2</v>
      </c>
      <c r="F19">
        <v>0</v>
      </c>
      <c r="G19">
        <v>0</v>
      </c>
      <c r="H19" s="7">
        <f t="shared" si="0"/>
        <v>0.18181818181818182</v>
      </c>
      <c r="I19" s="7">
        <f t="shared" si="0"/>
        <v>0</v>
      </c>
      <c r="J19" s="7">
        <f t="shared" si="0"/>
        <v>0</v>
      </c>
      <c r="K19" s="9"/>
    </row>
    <row r="20" spans="1:11" x14ac:dyDescent="0.3">
      <c r="A20" s="2">
        <v>46160</v>
      </c>
      <c r="B20" t="s">
        <v>34</v>
      </c>
      <c r="C20" s="10">
        <v>0</v>
      </c>
      <c r="D20" s="6">
        <v>2</v>
      </c>
      <c r="E20" s="6">
        <v>0</v>
      </c>
      <c r="F20">
        <v>0</v>
      </c>
      <c r="G20">
        <v>0</v>
      </c>
      <c r="H20" s="7">
        <f t="shared" si="0"/>
        <v>0</v>
      </c>
      <c r="I20" s="7">
        <f t="shared" si="0"/>
        <v>0</v>
      </c>
      <c r="J20" s="7">
        <f t="shared" si="0"/>
        <v>0</v>
      </c>
      <c r="K20" s="9">
        <v>0</v>
      </c>
    </row>
    <row r="21" spans="1:11" x14ac:dyDescent="0.3">
      <c r="A21" s="2">
        <v>46161</v>
      </c>
      <c r="B21" t="s">
        <v>34</v>
      </c>
      <c r="C21" s="10">
        <v>0.5</v>
      </c>
      <c r="D21" s="6">
        <v>550</v>
      </c>
      <c r="E21" s="6">
        <v>9</v>
      </c>
      <c r="F21">
        <v>2</v>
      </c>
      <c r="G21">
        <v>0</v>
      </c>
      <c r="H21" s="7">
        <f t="shared" si="0"/>
        <v>1.6363636363636365E-2</v>
      </c>
      <c r="I21" s="7">
        <f t="shared" si="0"/>
        <v>0.22222222222222221</v>
      </c>
      <c r="J21" s="7">
        <f t="shared" si="0"/>
        <v>0</v>
      </c>
      <c r="K21" s="9">
        <v>0</v>
      </c>
    </row>
    <row r="22" spans="1:11" x14ac:dyDescent="0.3">
      <c r="A22" s="2">
        <v>46162</v>
      </c>
      <c r="B22" t="s">
        <v>34</v>
      </c>
      <c r="C22" s="10">
        <v>7.75</v>
      </c>
      <c r="D22" s="6">
        <v>5475</v>
      </c>
      <c r="E22" s="6">
        <v>233</v>
      </c>
      <c r="F22">
        <v>31</v>
      </c>
      <c r="G22">
        <v>1</v>
      </c>
      <c r="H22" s="7">
        <f t="shared" si="0"/>
        <v>4.2557077625570774E-2</v>
      </c>
      <c r="I22" s="7">
        <f t="shared" si="0"/>
        <v>0.13304721030042918</v>
      </c>
      <c r="J22" s="7">
        <f t="shared" si="0"/>
        <v>3.2258064516129031E-2</v>
      </c>
      <c r="K22" s="9">
        <v>8.7962962962962962E-4</v>
      </c>
    </row>
    <row r="23" spans="1:11" x14ac:dyDescent="0.3">
      <c r="A23" s="2">
        <v>46163</v>
      </c>
      <c r="B23" t="s">
        <v>34</v>
      </c>
      <c r="C23" s="10">
        <v>3.6666666666666665</v>
      </c>
      <c r="D23" s="6">
        <v>4427</v>
      </c>
      <c r="E23" s="6">
        <v>163</v>
      </c>
      <c r="F23">
        <v>11</v>
      </c>
      <c r="G23">
        <v>0</v>
      </c>
      <c r="H23" s="7">
        <f t="shared" si="0"/>
        <v>3.6819516602665463E-2</v>
      </c>
      <c r="I23" s="7">
        <f t="shared" si="0"/>
        <v>6.7484662576687116E-2</v>
      </c>
      <c r="J23" s="7">
        <f t="shared" si="0"/>
        <v>0</v>
      </c>
      <c r="K23" s="9">
        <v>8.4490740740740739E-4</v>
      </c>
    </row>
    <row r="24" spans="1:11" x14ac:dyDescent="0.3">
      <c r="A24" s="2">
        <v>46164</v>
      </c>
      <c r="B24" t="s">
        <v>34</v>
      </c>
      <c r="C24" s="10">
        <v>5</v>
      </c>
      <c r="D24" s="6">
        <v>4060</v>
      </c>
      <c r="E24" s="6">
        <v>114</v>
      </c>
      <c r="F24">
        <v>10</v>
      </c>
      <c r="G24">
        <v>0</v>
      </c>
      <c r="H24" s="7">
        <f t="shared" si="0"/>
        <v>2.8078817733990149E-2</v>
      </c>
      <c r="I24" s="7">
        <f t="shared" si="0"/>
        <v>8.771929824561403E-2</v>
      </c>
      <c r="J24" s="7">
        <f t="shared" si="0"/>
        <v>0</v>
      </c>
      <c r="K24" s="9">
        <v>1.3425925925925925E-3</v>
      </c>
    </row>
    <row r="25" spans="1:11" x14ac:dyDescent="0.3">
      <c r="A25" s="2">
        <v>46165</v>
      </c>
      <c r="B25" t="s">
        <v>34</v>
      </c>
      <c r="C25" s="10"/>
      <c r="D25" s="6">
        <v>429</v>
      </c>
      <c r="E25" s="6">
        <v>9</v>
      </c>
      <c r="F25">
        <v>0</v>
      </c>
      <c r="G25">
        <v>0</v>
      </c>
      <c r="H25" s="7">
        <f t="shared" si="0"/>
        <v>2.097902097902098E-2</v>
      </c>
      <c r="I25" s="7">
        <f t="shared" si="0"/>
        <v>0</v>
      </c>
      <c r="J25" s="7">
        <f t="shared" si="0"/>
        <v>0</v>
      </c>
      <c r="K25" s="9"/>
    </row>
    <row r="26" spans="1:11" x14ac:dyDescent="0.3">
      <c r="A26" s="2">
        <v>46167</v>
      </c>
      <c r="B26" t="s">
        <v>34</v>
      </c>
      <c r="C26" s="10">
        <v>3</v>
      </c>
      <c r="D26" s="6">
        <v>3607</v>
      </c>
      <c r="E26" s="6">
        <v>97</v>
      </c>
      <c r="F26">
        <v>9</v>
      </c>
      <c r="G26">
        <v>0</v>
      </c>
      <c r="H26" s="7">
        <f t="shared" si="0"/>
        <v>2.6892154144718603E-2</v>
      </c>
      <c r="I26" s="7">
        <f t="shared" si="0"/>
        <v>9.2783505154639179E-2</v>
      </c>
      <c r="J26" s="7">
        <f t="shared" si="0"/>
        <v>0</v>
      </c>
      <c r="K26" s="9">
        <v>0</v>
      </c>
    </row>
    <row r="27" spans="1:11" x14ac:dyDescent="0.3">
      <c r="A27" s="2">
        <v>46168</v>
      </c>
      <c r="B27" t="s">
        <v>34</v>
      </c>
      <c r="C27" s="10">
        <v>4.5</v>
      </c>
      <c r="D27" s="6">
        <v>3982</v>
      </c>
      <c r="E27" s="6">
        <v>92</v>
      </c>
      <c r="F27">
        <v>9</v>
      </c>
      <c r="G27">
        <v>0</v>
      </c>
      <c r="H27" s="7">
        <f t="shared" si="0"/>
        <v>2.3103967855349072E-2</v>
      </c>
      <c r="I27" s="7">
        <f t="shared" si="0"/>
        <v>9.7826086956521743E-2</v>
      </c>
      <c r="J27" s="7">
        <f t="shared" si="0"/>
        <v>0</v>
      </c>
      <c r="K27" s="9">
        <v>4.5138888888888887E-4</v>
      </c>
    </row>
    <row r="28" spans="1:11" x14ac:dyDescent="0.3">
      <c r="A28" s="2">
        <v>46169</v>
      </c>
      <c r="B28" t="s">
        <v>34</v>
      </c>
      <c r="C28" s="10">
        <v>2.25</v>
      </c>
      <c r="D28" s="6">
        <v>3939</v>
      </c>
      <c r="E28" s="6">
        <v>75</v>
      </c>
      <c r="F28">
        <v>9</v>
      </c>
      <c r="G28">
        <v>0</v>
      </c>
      <c r="H28" s="7">
        <f t="shared" si="0"/>
        <v>1.9040365575019039E-2</v>
      </c>
      <c r="I28" s="7">
        <f t="shared" si="0"/>
        <v>0.12</v>
      </c>
      <c r="J28" s="7">
        <f t="shared" si="0"/>
        <v>0</v>
      </c>
      <c r="K28" s="9">
        <v>6.3657407407407413E-4</v>
      </c>
    </row>
    <row r="29" spans="1:11" x14ac:dyDescent="0.3">
      <c r="A29" s="2">
        <v>46170</v>
      </c>
      <c r="B29" t="s">
        <v>34</v>
      </c>
      <c r="C29" s="10">
        <v>0.5</v>
      </c>
      <c r="D29" s="6">
        <v>1379</v>
      </c>
      <c r="E29" s="6">
        <v>24</v>
      </c>
      <c r="F29">
        <v>2</v>
      </c>
      <c r="G29">
        <v>0</v>
      </c>
      <c r="H29" s="7">
        <f t="shared" si="0"/>
        <v>1.7403915881073241E-2</v>
      </c>
      <c r="I29" s="7">
        <f t="shared" si="0"/>
        <v>8.3333333333333329E-2</v>
      </c>
      <c r="J29" s="7">
        <f t="shared" si="0"/>
        <v>0</v>
      </c>
      <c r="K29" s="9">
        <v>2.3611111111111111E-3</v>
      </c>
    </row>
    <row r="30" spans="1:11" x14ac:dyDescent="0.3">
      <c r="A30" s="2">
        <v>46171</v>
      </c>
      <c r="B30" t="s">
        <v>34</v>
      </c>
      <c r="C30" s="10">
        <v>0</v>
      </c>
      <c r="D30" s="6">
        <v>0</v>
      </c>
      <c r="E30" s="6">
        <v>0</v>
      </c>
      <c r="F30">
        <v>0</v>
      </c>
      <c r="G30" t="s">
        <v>33</v>
      </c>
      <c r="H30" s="7">
        <f t="shared" si="0"/>
        <v>0</v>
      </c>
      <c r="I30" s="7">
        <f t="shared" si="0"/>
        <v>0</v>
      </c>
      <c r="J30" s="7">
        <f t="shared" si="0"/>
        <v>0</v>
      </c>
      <c r="K30" s="9"/>
    </row>
    <row r="31" spans="1:11" x14ac:dyDescent="0.3">
      <c r="A31" s="2">
        <v>46172</v>
      </c>
      <c r="B31" t="s">
        <v>34</v>
      </c>
      <c r="C31" s="10"/>
      <c r="D31" s="6">
        <v>0</v>
      </c>
      <c r="E31" s="6">
        <v>0</v>
      </c>
      <c r="F31">
        <v>0</v>
      </c>
      <c r="G31" t="s">
        <v>33</v>
      </c>
      <c r="H31" s="7">
        <f t="shared" si="0"/>
        <v>0</v>
      </c>
      <c r="I31" s="7">
        <f t="shared" si="0"/>
        <v>0</v>
      </c>
      <c r="J31" s="7">
        <f t="shared" si="0"/>
        <v>0</v>
      </c>
      <c r="K31" s="9"/>
    </row>
    <row r="32" spans="1:11" x14ac:dyDescent="0.3">
      <c r="A32" s="2">
        <v>46174</v>
      </c>
      <c r="B32" t="s">
        <v>34</v>
      </c>
      <c r="C32" s="10">
        <v>0</v>
      </c>
      <c r="D32" s="6">
        <v>0</v>
      </c>
      <c r="E32" s="6">
        <v>0</v>
      </c>
      <c r="F32">
        <v>0</v>
      </c>
      <c r="H32" s="7">
        <f t="shared" si="0"/>
        <v>0</v>
      </c>
      <c r="I32" s="7">
        <f t="shared" si="0"/>
        <v>0</v>
      </c>
      <c r="J32" s="7">
        <f t="shared" si="0"/>
        <v>0</v>
      </c>
      <c r="K32" s="9"/>
    </row>
    <row r="33" spans="1:11" x14ac:dyDescent="0.3">
      <c r="A33" s="2">
        <v>46175</v>
      </c>
      <c r="B33" t="s">
        <v>34</v>
      </c>
      <c r="C33" s="10">
        <v>0</v>
      </c>
      <c r="D33" s="6">
        <v>0</v>
      </c>
      <c r="E33" s="6">
        <v>0</v>
      </c>
      <c r="F33">
        <v>0</v>
      </c>
      <c r="H33" s="7">
        <f t="shared" si="0"/>
        <v>0</v>
      </c>
      <c r="I33" s="7">
        <f t="shared" si="0"/>
        <v>0</v>
      </c>
      <c r="J33" s="7">
        <f t="shared" si="0"/>
        <v>0</v>
      </c>
      <c r="K33" s="9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Funil_2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Gerber Pesqueira de Souza</cp:lastModifiedBy>
  <dcterms:created xsi:type="dcterms:W3CDTF">2026-06-09T00:42:13Z</dcterms:created>
  <dcterms:modified xsi:type="dcterms:W3CDTF">2026-06-11T15:18:58Z</dcterms:modified>
</cp:coreProperties>
</file>